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VCS-148\Downloads\"/>
    </mc:Choice>
  </mc:AlternateContent>
  <bookViews>
    <workbookView xWindow="0" yWindow="0" windowWidth="20490" windowHeight="753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18" l="1"/>
  <c r="E28" i="18"/>
  <c r="D28" i="18"/>
  <c r="C28" i="18"/>
  <c r="B28" i="18"/>
  <c r="C22" i="19"/>
  <c r="F29" i="18"/>
  <c r="E29" i="18"/>
  <c r="D29" i="18"/>
  <c r="C29" i="18"/>
  <c r="F30" i="18"/>
  <c r="E30" i="18"/>
  <c r="D30" i="18"/>
  <c r="C30" i="18"/>
  <c r="B30" i="18"/>
  <c r="B29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B6" i="18"/>
</calcChain>
</file>

<file path=xl/sharedStrings.xml><?xml version="1.0" encoding="utf-8"?>
<sst xmlns="http://schemas.openxmlformats.org/spreadsheetml/2006/main" count="409" uniqueCount="183">
  <si>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</si>
  <si>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</si>
  <si>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</si>
  <si>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</si>
  <si>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</si>
  <si>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</si>
  <si>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</si>
  <si>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</si>
  <si>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</si>
  <si>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</si>
  <si>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</si>
  <si>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</si>
  <si>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</si>
  <si>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</si>
  <si>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</si>
  <si>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</si>
  <si>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</si>
  <si>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</si>
  <si>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</si>
  <si>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</si>
  <si>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</si>
  <si>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</si>
  <si>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</si>
  <si>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</si>
  <si>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</si>
  <si>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</si>
  <si>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</si>
  <si>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</si>
  <si>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</si>
  <si>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</si>
  <si>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</si>
  <si>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</si>
  <si>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</si>
  <si>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</si>
  <si>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</si>
  <si>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</si>
  <si>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</si>
  <si>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</si>
  <si>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</si>
  <si>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</si>
  <si>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</si>
  <si>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</si>
  <si>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</si>
  <si>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</si>
  <si>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</si>
  <si>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</si>
  <si>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</si>
  <si>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</si>
  <si>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</si>
  <si>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</si>
  <si>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</si>
  <si>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</si>
  <si>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</si>
  <si>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</si>
  <si>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</si>
  <si>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</si>
  <si>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</si>
  <si>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</si>
  <si>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</si>
  <si>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</si>
  <si>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</si>
  <si>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</si>
  <si>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</si>
  <si>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</si>
  <si>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</si>
  <si>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</si>
  <si>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</si>
  <si>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</si>
  <si>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</si>
  <si>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</si>
  <si>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</si>
  <si>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</si>
  <si>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</si>
  <si>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</si>
  <si>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</si>
  <si>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</si>
  <si>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</si>
  <si>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</si>
  <si>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</si>
  <si>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</si>
  <si>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</si>
  <si>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</si>
  <si>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</si>
  <si>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</si>
  <si>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</si>
  <si>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</si>
  <si>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</si>
  <si>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</si>
  <si>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</si>
  <si>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</si>
  <si>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</si>
  <si>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</si>
  <si>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</si>
  <si>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</si>
  <si>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</si>
  <si>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</si>
  <si>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</si>
  <si>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</si>
  <si>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</si>
  <si>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</si>
  <si>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</si>
  <si>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</si>
  <si>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</si>
  <si>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</si>
  <si>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</si>
  <si>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</si>
  <si>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</si>
  <si>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</si>
  <si>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</si>
  <si>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</si>
  <si>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</si>
  <si>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</si>
  <si>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</si>
  <si>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</si>
  <si>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</si>
  <si>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</si>
  <si>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</si>
  <si>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</si>
  <si>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</si>
  <si>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</si>
  <si>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</si>
  <si>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</si>
  <si>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</si>
  <si>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</si>
  <si>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</si>
  <si>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</si>
  <si>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</si>
  <si>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</si>
  <si>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</si>
  <si>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</si>
  <si>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</si>
  <si>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</si>
  <si>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</si>
  <si>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</si>
  <si>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</si>
  <si>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</si>
  <si>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</si>
  <si>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</si>
  <si>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</si>
  <si>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</si>
  <si>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</si>
  <si>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</si>
  <si>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</si>
  <si>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</si>
  <si>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</si>
  <si>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</si>
  <si>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</si>
  <si>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</si>
  <si>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</si>
  <si>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</si>
  <si>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</si>
  <si>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</si>
  <si>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</si>
  <si>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</si>
  <si>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</si>
  <si>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</si>
  <si>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</si>
  <si>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</si>
  <si>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</si>
  <si>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</si>
  <si>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</si>
  <si>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</si>
  <si>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</si>
  <si>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</si>
  <si>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</si>
  <si>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</si>
  <si>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</si>
  <si>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</si>
  <si>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</si>
  <si>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</si>
  <si>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</si>
  <si>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</si>
  <si>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</si>
  <si>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</si>
  <si>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</si>
  <si>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</si>
  <si>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</si>
  <si>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</si>
  <si>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</si>
  <si>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you can directly use function " text to columns"</t>
  </si>
  <si>
    <t>Text to Columns</t>
  </si>
  <si>
    <t>Sum formula</t>
  </si>
  <si>
    <t xml:space="preserve">you can use Sum formula for addition of multiple values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</si>
</sst>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7" borderId="0" xfId="0" applyFont="1" applyFill="1"/>
    <xf numFmtId="167" fontId="3" fillId="0" borderId="0" xfId="0" applyNumberFormat="1" applyFont="1"/>
    <xf numFmtId="0" fontId="7" fillId="0" borderId="9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3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0" t="s">
        <v>172</v>
      </c>
      <c r="B9" s="21" t="s">
        <v>170</v>
      </c>
    </row>
    <row r="10" spans="1:3" x14ac:dyDescent="0.2">
      <c r="A10" s="29" t="s">
        <v>173</v>
      </c>
      <c r="B10" s="31">
        <v>25</v>
      </c>
    </row>
    <row r="11" spans="1:3" x14ac:dyDescent="0.2">
      <c r="A11" s="29" t="s">
        <v>55</v>
      </c>
      <c r="B11" s="31">
        <v>30</v>
      </c>
    </row>
    <row r="12" spans="1:3" x14ac:dyDescent="0.2">
      <c r="A12" s="29" t="s">
        <v>56</v>
      </c>
      <c r="B12" s="31">
        <v>10</v>
      </c>
    </row>
    <row r="13" spans="1:3" x14ac:dyDescent="0.2">
      <c r="A13" s="29" t="s">
        <v>85</v>
      </c>
      <c r="B13" s="31">
        <v>20</v>
      </c>
    </row>
    <row r="14" spans="1:3" x14ac:dyDescent="0.2">
      <c r="A14" s="29" t="s">
        <v>98</v>
      </c>
      <c r="B14" s="31">
        <v>40</v>
      </c>
    </row>
    <row r="15" spans="1:3" x14ac:dyDescent="0.2">
      <c r="A15" s="32" t="s">
        <v>171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0" activePane="bottomLeft" state="frozen"/>
      <selection pane="bottomLeft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19" customWidth="1"/>
    <col min="5" max="5" width="9.1640625" style="1" bestFit="1" customWidth="1"/>
    <col min="6" max="6" width="10.33203125" style="19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2" t="s">
        <v>64</v>
      </c>
      <c r="B1" s="22" t="s">
        <v>43</v>
      </c>
      <c r="C1" s="22" t="s">
        <v>0</v>
      </c>
      <c r="D1" s="23" t="s">
        <v>1</v>
      </c>
      <c r="E1" s="22" t="s">
        <v>2</v>
      </c>
      <c r="F1" s="23" t="s">
        <v>3</v>
      </c>
      <c r="G1" s="24" t="s">
        <v>79</v>
      </c>
      <c r="H1" s="24" t="s">
        <v>65</v>
      </c>
      <c r="I1" s="24" t="s">
        <v>66</v>
      </c>
      <c r="J1" s="25" t="s">
        <v>67</v>
      </c>
      <c r="K1" s="25" t="s">
        <v>68</v>
      </c>
      <c r="L1" s="25" t="s">
        <v>69</v>
      </c>
      <c r="M1" s="24" t="s">
        <v>70</v>
      </c>
      <c r="N1" s="24" t="s">
        <v>71</v>
      </c>
      <c r="O1" s="24" t="s">
        <v>72</v>
      </c>
      <c r="P1" s="25" t="s">
        <v>73</v>
      </c>
      <c r="Q1" s="25" t="s">
        <v>74</v>
      </c>
      <c r="R1" s="25" t="s">
        <v>75</v>
      </c>
      <c r="S1" s="24" t="s">
        <v>80</v>
      </c>
      <c r="T1" s="24" t="s">
        <v>76</v>
      </c>
      <c r="U1" s="25" t="s">
        <v>81</v>
      </c>
      <c r="V1" s="25" t="s">
        <v>77</v>
      </c>
      <c r="W1" s="25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19">
        <v>0</v>
      </c>
      <c r="E2" s="1" t="s">
        <v>6</v>
      </c>
      <c r="F2" s="19">
        <v>0.99998842592592596</v>
      </c>
      <c r="G2" s="1">
        <v>2.7</v>
      </c>
      <c r="H2" s="1">
        <v>3.6</v>
      </c>
      <c r="I2" s="1">
        <v>4.2</v>
      </c>
      <c r="J2" s="39">
        <v>-1</v>
      </c>
      <c r="K2" s="39">
        <v>-1</v>
      </c>
      <c r="L2" s="39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19">
        <v>0</v>
      </c>
      <c r="E3" s="1" t="s">
        <v>6</v>
      </c>
      <c r="F3" s="19">
        <v>0.99998842592592596</v>
      </c>
      <c r="G3" s="1">
        <v>2.7</v>
      </c>
      <c r="H3" s="1">
        <v>3.6</v>
      </c>
      <c r="I3" s="1">
        <v>4.2</v>
      </c>
      <c r="J3" s="39">
        <v>-1</v>
      </c>
      <c r="K3" s="39">
        <v>-1</v>
      </c>
      <c r="L3" s="39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19">
        <v>0</v>
      </c>
      <c r="E4" s="1" t="s">
        <v>6</v>
      </c>
      <c r="F4" s="19">
        <v>0.99998842592592596</v>
      </c>
      <c r="G4" s="1">
        <v>3.6</v>
      </c>
      <c r="H4" s="1">
        <v>5.4</v>
      </c>
      <c r="I4" s="1">
        <v>5.8</v>
      </c>
      <c r="J4" s="39">
        <v>-1</v>
      </c>
      <c r="K4" s="39">
        <v>-1</v>
      </c>
      <c r="L4" s="39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19">
        <v>0</v>
      </c>
      <c r="E5" s="1" t="s">
        <v>6</v>
      </c>
      <c r="F5" s="19">
        <v>0.99998842592592596</v>
      </c>
      <c r="G5" s="1">
        <v>4.9000000000000004</v>
      </c>
      <c r="H5" s="1">
        <v>6.6</v>
      </c>
      <c r="I5" s="1">
        <v>8.1</v>
      </c>
      <c r="J5" s="39">
        <v>-1</v>
      </c>
      <c r="K5" s="39">
        <v>-1</v>
      </c>
      <c r="L5" s="39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19">
        <v>0</v>
      </c>
      <c r="E6" s="1" t="s">
        <v>6</v>
      </c>
      <c r="F6" s="19">
        <v>0.99998842592592596</v>
      </c>
      <c r="G6" s="1">
        <v>6.6</v>
      </c>
      <c r="H6" s="1">
        <v>8.8000000000000007</v>
      </c>
      <c r="I6" s="1">
        <v>11</v>
      </c>
      <c r="J6" s="39">
        <v>-1</v>
      </c>
      <c r="K6" s="39">
        <v>-1</v>
      </c>
      <c r="L6" s="39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19">
        <v>0</v>
      </c>
      <c r="E7" s="1" t="s">
        <v>6</v>
      </c>
      <c r="F7" s="19">
        <v>0.99998842592592596</v>
      </c>
      <c r="G7" s="1">
        <v>7.1</v>
      </c>
      <c r="H7" s="1">
        <v>10.4</v>
      </c>
      <c r="I7" s="1">
        <v>12.8</v>
      </c>
      <c r="J7" s="39">
        <v>-1</v>
      </c>
      <c r="K7" s="39">
        <v>-1</v>
      </c>
      <c r="L7" s="39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19">
        <v>0</v>
      </c>
      <c r="E8" s="1" t="s">
        <v>6</v>
      </c>
      <c r="F8" s="19">
        <v>0.99998842592592596</v>
      </c>
      <c r="G8" s="1">
        <v>9.4</v>
      </c>
      <c r="H8" s="1">
        <v>13.8</v>
      </c>
      <c r="I8" s="1">
        <v>16.100000000000001</v>
      </c>
      <c r="J8" s="39">
        <v>-1</v>
      </c>
      <c r="K8" s="39">
        <v>-1</v>
      </c>
      <c r="L8" s="39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19">
        <v>0</v>
      </c>
      <c r="E9" s="1" t="s">
        <v>6</v>
      </c>
      <c r="F9" s="19">
        <v>0.99998842592592596</v>
      </c>
      <c r="G9" s="1">
        <v>11.6</v>
      </c>
      <c r="H9" s="1">
        <v>17.3</v>
      </c>
      <c r="I9" s="1">
        <v>21.3</v>
      </c>
      <c r="J9" s="39">
        <v>-1</v>
      </c>
      <c r="K9" s="39">
        <v>-1</v>
      </c>
      <c r="L9" s="39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19">
        <v>0</v>
      </c>
      <c r="E10" s="1" t="s">
        <v>6</v>
      </c>
      <c r="F10" s="19">
        <v>0.99998842592592596</v>
      </c>
      <c r="G10" s="1">
        <v>16.100000000000001</v>
      </c>
      <c r="H10" s="1">
        <v>24.1</v>
      </c>
      <c r="I10" s="1">
        <v>29.1</v>
      </c>
      <c r="J10" s="39">
        <v>-1</v>
      </c>
      <c r="K10" s="39">
        <v>-1</v>
      </c>
      <c r="L10" s="39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19">
        <v>0</v>
      </c>
      <c r="E11" s="1" t="s">
        <v>6</v>
      </c>
      <c r="F11" s="19">
        <v>0.99998842592592596</v>
      </c>
      <c r="G11" s="1">
        <v>18.399999999999999</v>
      </c>
      <c r="H11" s="1">
        <v>27.5</v>
      </c>
      <c r="I11" s="1">
        <v>33.799999999999997</v>
      </c>
      <c r="J11" s="39">
        <v>-1</v>
      </c>
      <c r="K11" s="39">
        <v>-1</v>
      </c>
      <c r="L11" s="39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19">
        <v>0</v>
      </c>
      <c r="E12" s="1" t="s">
        <v>6</v>
      </c>
      <c r="F12" s="19">
        <v>0.99998842592592596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1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19">
        <v>0</v>
      </c>
      <c r="E13" s="1" t="s">
        <v>6</v>
      </c>
      <c r="F13" s="19">
        <v>0.99998842592592596</v>
      </c>
      <c r="G13" s="1">
        <v>21.9</v>
      </c>
      <c r="H13" s="1">
        <v>32.1</v>
      </c>
      <c r="I13" s="1">
        <v>40.1</v>
      </c>
      <c r="J13" s="39">
        <v>-1</v>
      </c>
      <c r="K13" s="39">
        <v>-1</v>
      </c>
      <c r="L13" s="39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19">
        <v>0</v>
      </c>
      <c r="E14" s="1" t="s">
        <v>6</v>
      </c>
      <c r="F14" s="19">
        <v>0.99998842592592596</v>
      </c>
      <c r="G14" s="1">
        <v>23.5</v>
      </c>
      <c r="H14" s="1">
        <v>34.700000000000003</v>
      </c>
      <c r="I14" s="1">
        <v>42.7</v>
      </c>
      <c r="J14" s="39">
        <v>-1</v>
      </c>
      <c r="K14" s="39">
        <v>-1</v>
      </c>
      <c r="L14" s="39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19">
        <v>0</v>
      </c>
      <c r="E15" s="1" t="s">
        <v>6</v>
      </c>
      <c r="F15" s="19">
        <v>0.99998842592592596</v>
      </c>
      <c r="G15" s="1">
        <v>26.8</v>
      </c>
      <c r="H15" s="1">
        <v>39.299999999999997</v>
      </c>
      <c r="I15" s="1">
        <v>47.9</v>
      </c>
      <c r="J15" s="39">
        <v>-1</v>
      </c>
      <c r="K15" s="39">
        <v>-1</v>
      </c>
      <c r="L15" s="39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19">
        <v>0</v>
      </c>
      <c r="E16" s="1" t="s">
        <v>6</v>
      </c>
      <c r="F16" s="19">
        <v>0.99998842592592596</v>
      </c>
      <c r="G16" s="1">
        <v>28</v>
      </c>
      <c r="H16" s="1">
        <v>41</v>
      </c>
      <c r="I16" s="1">
        <v>50.1</v>
      </c>
      <c r="J16" s="39">
        <v>-1</v>
      </c>
      <c r="K16" s="39">
        <v>-1</v>
      </c>
      <c r="L16" s="39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19">
        <v>0</v>
      </c>
      <c r="E17" s="1" t="s">
        <v>6</v>
      </c>
      <c r="F17" s="19">
        <v>0.99998842592592596</v>
      </c>
      <c r="G17" s="1">
        <v>28.5</v>
      </c>
      <c r="H17" s="1">
        <v>42.3</v>
      </c>
      <c r="I17" s="1">
        <v>52.3</v>
      </c>
      <c r="J17" s="39">
        <v>-1</v>
      </c>
      <c r="K17" s="39">
        <v>-1</v>
      </c>
      <c r="L17" s="39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19">
        <v>0</v>
      </c>
      <c r="E18" s="1" t="s">
        <v>6</v>
      </c>
      <c r="F18" s="19">
        <v>0.99998842592592596</v>
      </c>
      <c r="G18" s="1">
        <v>29.1</v>
      </c>
      <c r="H18" s="1">
        <v>43.3</v>
      </c>
      <c r="I18" s="1">
        <v>53.7</v>
      </c>
      <c r="J18" s="39">
        <v>-1</v>
      </c>
      <c r="K18" s="39">
        <v>-1</v>
      </c>
      <c r="L18" s="39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19">
        <v>0</v>
      </c>
      <c r="E19" s="1" t="s">
        <v>6</v>
      </c>
      <c r="F19" s="19">
        <v>0.99998842592592596</v>
      </c>
      <c r="G19" s="1">
        <v>30.7</v>
      </c>
      <c r="H19" s="1">
        <v>45.5</v>
      </c>
      <c r="I19" s="1">
        <v>57</v>
      </c>
      <c r="J19" s="39">
        <v>-1</v>
      </c>
      <c r="K19" s="39">
        <v>-1</v>
      </c>
      <c r="L19" s="39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19">
        <v>0</v>
      </c>
      <c r="E20" s="1" t="s">
        <v>6</v>
      </c>
      <c r="F20" s="19">
        <v>0.99998842592592596</v>
      </c>
      <c r="G20" s="1">
        <v>33.799999999999997</v>
      </c>
      <c r="H20" s="1">
        <v>50.1</v>
      </c>
      <c r="I20" s="1">
        <v>61.4</v>
      </c>
      <c r="J20" s="39">
        <v>-1</v>
      </c>
      <c r="K20" s="39">
        <v>-1</v>
      </c>
      <c r="L20" s="39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19">
        <v>0</v>
      </c>
      <c r="E21" s="1" t="s">
        <v>6</v>
      </c>
      <c r="F21" s="19">
        <v>0.99998842592592596</v>
      </c>
      <c r="G21" s="1">
        <v>34.700000000000003</v>
      </c>
      <c r="H21" s="1">
        <v>52.3</v>
      </c>
      <c r="I21" s="1">
        <v>63.6</v>
      </c>
      <c r="J21" s="39">
        <v>-1</v>
      </c>
      <c r="K21" s="39">
        <v>-1</v>
      </c>
      <c r="L21" s="39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19">
        <v>0</v>
      </c>
      <c r="E22" s="1" t="s">
        <v>6</v>
      </c>
      <c r="F22" s="19">
        <v>0.99998842592592596</v>
      </c>
      <c r="G22" s="1">
        <v>36.5</v>
      </c>
      <c r="H22" s="1">
        <v>54.6</v>
      </c>
      <c r="I22" s="1">
        <v>65.900000000000006</v>
      </c>
      <c r="J22" s="39">
        <v>-1</v>
      </c>
      <c r="K22" s="39">
        <v>-1</v>
      </c>
      <c r="L22" s="39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19">
        <v>0</v>
      </c>
      <c r="E23" s="1" t="s">
        <v>6</v>
      </c>
      <c r="F23" s="19">
        <v>0.99998842592592596</v>
      </c>
      <c r="G23" s="1">
        <v>38</v>
      </c>
      <c r="H23" s="1">
        <v>57.2</v>
      </c>
      <c r="I23" s="1">
        <v>68.7</v>
      </c>
      <c r="J23" s="39">
        <v>-1</v>
      </c>
      <c r="K23" s="39">
        <v>-1</v>
      </c>
      <c r="L23" s="39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19">
        <v>0</v>
      </c>
      <c r="E24" s="1" t="s">
        <v>6</v>
      </c>
      <c r="F24" s="19">
        <v>0.99998842592592596</v>
      </c>
      <c r="G24" s="1">
        <v>38.700000000000003</v>
      </c>
      <c r="H24" s="1">
        <v>59.2</v>
      </c>
      <c r="I24" s="1">
        <v>70.400000000000006</v>
      </c>
      <c r="J24" s="39">
        <v>-1</v>
      </c>
      <c r="K24" s="39">
        <v>-1</v>
      </c>
      <c r="L24" s="39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19">
        <v>0</v>
      </c>
      <c r="E25" s="1" t="s">
        <v>6</v>
      </c>
      <c r="F25" s="19">
        <v>0.99998842592592596</v>
      </c>
      <c r="G25" s="1">
        <v>40.1</v>
      </c>
      <c r="H25" s="1">
        <v>59.2</v>
      </c>
      <c r="I25" s="1">
        <v>72.8</v>
      </c>
      <c r="J25" s="39">
        <v>-1</v>
      </c>
      <c r="K25" s="39">
        <v>-1</v>
      </c>
      <c r="L25" s="39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19">
        <v>0</v>
      </c>
      <c r="E26" s="1" t="s">
        <v>6</v>
      </c>
      <c r="F26" s="19">
        <v>0.99998842592592596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1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19">
        <v>0</v>
      </c>
      <c r="E27" s="1" t="s">
        <v>6</v>
      </c>
      <c r="F27" s="19">
        <v>0.99998842592592596</v>
      </c>
      <c r="G27" s="1">
        <v>41.3</v>
      </c>
      <c r="H27" s="1">
        <v>61.4</v>
      </c>
      <c r="I27" s="1">
        <v>75</v>
      </c>
      <c r="J27" s="39">
        <v>-1</v>
      </c>
      <c r="K27" s="39">
        <v>-1</v>
      </c>
      <c r="L27" s="39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19">
        <v>0</v>
      </c>
      <c r="E28" s="1" t="s">
        <v>6</v>
      </c>
      <c r="F28" s="19">
        <v>0.99998842592592596</v>
      </c>
      <c r="G28" s="1">
        <v>42.3</v>
      </c>
      <c r="H28" s="1">
        <v>61.4</v>
      </c>
      <c r="I28" s="1">
        <v>75</v>
      </c>
      <c r="J28" s="39">
        <v>-1</v>
      </c>
      <c r="K28" s="39">
        <v>-1</v>
      </c>
      <c r="L28" s="39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19">
        <v>0</v>
      </c>
      <c r="E29" s="1" t="s">
        <v>6</v>
      </c>
      <c r="F29" s="19">
        <v>0.99998842592592596</v>
      </c>
      <c r="G29" s="1">
        <v>43.3</v>
      </c>
      <c r="H29" s="1">
        <v>63.6</v>
      </c>
      <c r="I29" s="1">
        <v>77.2</v>
      </c>
      <c r="J29" s="39">
        <v>-1</v>
      </c>
      <c r="K29" s="39">
        <v>-1</v>
      </c>
      <c r="L29" s="39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19">
        <v>0</v>
      </c>
      <c r="E30" s="1" t="s">
        <v>6</v>
      </c>
      <c r="F30" s="19">
        <v>0.99998842592592596</v>
      </c>
      <c r="G30" s="39">
        <v>-1</v>
      </c>
      <c r="H30" s="39">
        <v>-1</v>
      </c>
      <c r="I30" s="39">
        <v>-1</v>
      </c>
      <c r="J30" s="39">
        <v>-1</v>
      </c>
      <c r="K30" s="39">
        <v>-1</v>
      </c>
      <c r="L30" s="39">
        <v>-1</v>
      </c>
      <c r="M30" s="39">
        <v>-1</v>
      </c>
      <c r="N30" s="39">
        <v>-1</v>
      </c>
      <c r="O30" s="39">
        <v>-1</v>
      </c>
      <c r="P30" s="39">
        <v>-1</v>
      </c>
      <c r="Q30" s="39">
        <v>-1</v>
      </c>
      <c r="R30" s="39">
        <v>-1</v>
      </c>
      <c r="S30" s="39">
        <v>-1</v>
      </c>
      <c r="T30" s="39">
        <v>-1</v>
      </c>
      <c r="U30" s="39">
        <v>-1</v>
      </c>
      <c r="V30" s="39">
        <v>-1</v>
      </c>
      <c r="W30" s="39">
        <v>-1</v>
      </c>
      <c r="X30" s="41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19">
        <v>0</v>
      </c>
      <c r="E31" s="1" t="s">
        <v>6</v>
      </c>
      <c r="F31" s="19">
        <v>0.99998842592592596</v>
      </c>
      <c r="G31" s="1">
        <v>45</v>
      </c>
      <c r="H31" s="1">
        <v>65.900000000000006</v>
      </c>
      <c r="I31" s="1">
        <v>79.400000000000006</v>
      </c>
      <c r="J31" s="39">
        <v>-1</v>
      </c>
      <c r="K31" s="39">
        <v>-1</v>
      </c>
      <c r="L31" s="39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19">
        <v>0</v>
      </c>
      <c r="E32" s="1" t="s">
        <v>6</v>
      </c>
      <c r="F32" s="19">
        <v>0.99998842592592596</v>
      </c>
      <c r="G32" s="39">
        <v>-1</v>
      </c>
      <c r="H32" s="39">
        <v>-1</v>
      </c>
      <c r="I32" s="39">
        <v>-1</v>
      </c>
      <c r="J32" s="39">
        <v>-1</v>
      </c>
      <c r="K32" s="39">
        <v>-1</v>
      </c>
      <c r="L32" s="39">
        <v>-1</v>
      </c>
      <c r="M32" s="39">
        <v>-1</v>
      </c>
      <c r="N32" s="39">
        <v>-1</v>
      </c>
      <c r="O32" s="39">
        <v>-1</v>
      </c>
      <c r="P32" s="39">
        <v>-1</v>
      </c>
      <c r="Q32" s="39">
        <v>-1</v>
      </c>
      <c r="R32" s="39">
        <v>-1</v>
      </c>
      <c r="S32" s="39">
        <v>-1</v>
      </c>
      <c r="T32" s="39">
        <v>-1</v>
      </c>
      <c r="U32" s="39">
        <v>-1</v>
      </c>
      <c r="V32" s="39">
        <v>-1</v>
      </c>
      <c r="W32" s="39">
        <v>-1</v>
      </c>
      <c r="X32" s="41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19">
        <v>0</v>
      </c>
      <c r="E33" s="1" t="s">
        <v>6</v>
      </c>
      <c r="F33" s="19">
        <v>0.99998842592592596</v>
      </c>
      <c r="G33" s="1">
        <v>41.5</v>
      </c>
      <c r="H33" s="1">
        <v>61.4</v>
      </c>
      <c r="I33" s="1">
        <v>75</v>
      </c>
      <c r="J33" s="39">
        <v>-1</v>
      </c>
      <c r="K33" s="39">
        <v>-1</v>
      </c>
      <c r="L33" s="39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19">
        <v>0</v>
      </c>
      <c r="E34" s="1" t="s">
        <v>6</v>
      </c>
      <c r="F34" s="19">
        <v>0.99998842592592596</v>
      </c>
      <c r="G34" s="1">
        <v>43.3</v>
      </c>
      <c r="H34" s="1">
        <v>63.6</v>
      </c>
      <c r="I34" s="1">
        <v>79.400000000000006</v>
      </c>
      <c r="J34" s="39">
        <v>-1</v>
      </c>
      <c r="K34" s="39">
        <v>-1</v>
      </c>
      <c r="L34" s="39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19">
        <v>0</v>
      </c>
      <c r="E35" s="1" t="s">
        <v>6</v>
      </c>
      <c r="F35" s="19">
        <v>0.99998842592592596</v>
      </c>
      <c r="G35" s="1">
        <v>44.5</v>
      </c>
      <c r="H35" s="1">
        <v>65.900000000000006</v>
      </c>
      <c r="I35" s="1">
        <v>81.8</v>
      </c>
      <c r="J35" s="39">
        <v>-1</v>
      </c>
      <c r="K35" s="39">
        <v>-1</v>
      </c>
      <c r="L35" s="39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19">
        <v>0</v>
      </c>
      <c r="E36" s="1" t="s">
        <v>6</v>
      </c>
      <c r="F36" s="19">
        <v>0.99998842592592596</v>
      </c>
      <c r="G36" s="1">
        <v>47.3</v>
      </c>
      <c r="H36" s="1">
        <v>70.400000000000006</v>
      </c>
      <c r="I36" s="1">
        <v>86.4</v>
      </c>
      <c r="J36" s="39">
        <v>-1</v>
      </c>
      <c r="K36" s="39">
        <v>-1</v>
      </c>
      <c r="L36" s="39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19">
        <v>0</v>
      </c>
      <c r="E37" s="1" t="s">
        <v>6</v>
      </c>
      <c r="F37" s="19">
        <v>0.99998842592592596</v>
      </c>
      <c r="G37" s="1">
        <v>48.3</v>
      </c>
      <c r="H37" s="1">
        <v>72</v>
      </c>
      <c r="I37" s="1">
        <v>89</v>
      </c>
      <c r="J37" s="39">
        <v>-1</v>
      </c>
      <c r="K37" s="39">
        <v>-1</v>
      </c>
      <c r="L37" s="39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19">
        <v>0</v>
      </c>
      <c r="E38" s="1" t="s">
        <v>6</v>
      </c>
      <c r="F38" s="19">
        <v>0.99998842592592596</v>
      </c>
      <c r="G38" s="1">
        <v>49.1</v>
      </c>
      <c r="H38" s="1">
        <v>72.8</v>
      </c>
      <c r="I38" s="1">
        <v>90.9</v>
      </c>
      <c r="J38" s="39">
        <v>-1</v>
      </c>
      <c r="K38" s="39">
        <v>-1</v>
      </c>
      <c r="L38" s="39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19">
        <v>0</v>
      </c>
      <c r="E39" s="1" t="s">
        <v>6</v>
      </c>
      <c r="F39" s="19">
        <v>0.99998842592592596</v>
      </c>
      <c r="G39" s="1">
        <v>50.6</v>
      </c>
      <c r="H39" s="1">
        <v>75</v>
      </c>
      <c r="I39" s="1">
        <v>93.1</v>
      </c>
      <c r="J39" s="39">
        <v>-1</v>
      </c>
      <c r="K39" s="39">
        <v>-1</v>
      </c>
      <c r="L39" s="39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19">
        <v>0</v>
      </c>
      <c r="E40" s="1" t="s">
        <v>6</v>
      </c>
      <c r="F40" s="19">
        <v>0.99998842592592596</v>
      </c>
      <c r="G40" s="1">
        <v>51.8</v>
      </c>
      <c r="H40" s="1">
        <v>77.2</v>
      </c>
      <c r="I40" s="1">
        <v>93.1</v>
      </c>
      <c r="J40" s="39">
        <v>-1</v>
      </c>
      <c r="K40" s="39">
        <v>-1</v>
      </c>
      <c r="L40" s="39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</sheetData>
  <conditionalFormatting sqref="A1:A1048576">
    <cfRule type="duplicateValues" dxfId="1" priority="3"/>
  </conditionalFormatting>
  <conditionalFormatting sqref="B1:B1048576">
    <cfRule type="duplicateValues" dxfId="0" priority="2"/>
  </conditionalFormatting>
  <conditionalFormatting sqref="A1:X40">
    <cfRule type="cellIs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zoomScaleNormal="100" workbookViewId="0">
      <selection activeCell="F5" sqref="F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6" x14ac:dyDescent="0.25">
      <c r="A2" s="2"/>
      <c r="B2" s="5" t="s">
        <v>161</v>
      </c>
      <c r="C2" s="2"/>
    </row>
    <row r="3" spans="1:6" x14ac:dyDescent="0.25">
      <c r="A3" s="6">
        <v>1</v>
      </c>
      <c r="B3" s="2" t="s">
        <v>108</v>
      </c>
      <c r="C3" s="2" t="s">
        <v>45</v>
      </c>
      <c r="E3" s="1">
        <v>5</v>
      </c>
      <c r="F3" s="1" t="s">
        <v>178</v>
      </c>
    </row>
    <row r="4" spans="1:6" x14ac:dyDescent="0.25">
      <c r="A4" s="6">
        <v>2</v>
      </c>
      <c r="B4" s="2" t="s">
        <v>46</v>
      </c>
      <c r="C4" s="2"/>
      <c r="E4" s="1">
        <v>5</v>
      </c>
      <c r="F4" s="1" t="s">
        <v>178</v>
      </c>
    </row>
    <row r="5" spans="1:6" x14ac:dyDescent="0.25">
      <c r="A5" s="6">
        <v>3</v>
      </c>
      <c r="B5" s="2" t="s">
        <v>104</v>
      </c>
      <c r="C5" s="28" t="s">
        <v>105</v>
      </c>
      <c r="D5" s="1">
        <v>1473</v>
      </c>
      <c r="E5" s="1">
        <v>10</v>
      </c>
      <c r="F5" s="1" t="s">
        <v>178</v>
      </c>
    </row>
    <row r="6" spans="1:6" x14ac:dyDescent="0.25">
      <c r="A6" s="6">
        <v>4</v>
      </c>
      <c r="B6" s="2" t="s">
        <v>107</v>
      </c>
      <c r="C6" s="2"/>
      <c r="E6" s="1">
        <v>5</v>
      </c>
      <c r="F6" s="1" t="s">
        <v>178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9" zoomScaleNormal="100" workbookViewId="0">
      <selection activeCell="B30" sqref="B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5" customFormat="1" ht="21" x14ac:dyDescent="0.35">
      <c r="A1" s="36" t="s">
        <v>55</v>
      </c>
      <c r="B1" s="35" t="s">
        <v>165</v>
      </c>
    </row>
    <row r="2" spans="1:7" s="35" customFormat="1" ht="21" x14ac:dyDescent="0.35">
      <c r="B2" s="35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">
      <c r="A5" s="42" t="s">
        <v>64</v>
      </c>
      <c r="B5" s="43" t="s">
        <v>79</v>
      </c>
      <c r="C5" s="44" t="s">
        <v>71</v>
      </c>
      <c r="D5" s="43" t="s">
        <v>75</v>
      </c>
      <c r="E5" s="44" t="s">
        <v>76</v>
      </c>
      <c r="F5" s="45" t="s">
        <v>77</v>
      </c>
    </row>
    <row r="6" spans="1:7" ht="15" x14ac:dyDescent="0.2">
      <c r="A6" s="46" t="s">
        <v>40</v>
      </c>
      <c r="B6" s="47">
        <f>VLOOKUP(A6,Dataset!A:X,7,0)</f>
        <v>2.7</v>
      </c>
      <c r="C6" s="47">
        <f>VLOOKUP(A6,Dataset!A:X,14,0)</f>
        <v>7.6</v>
      </c>
      <c r="D6" s="47">
        <f>VLOOKUP(A6,Dataset!A:X,18,0)</f>
        <v>4.2</v>
      </c>
      <c r="E6" s="47">
        <f>VLOOKUP(A6,Dataset!A:X,20,0)</f>
        <v>8.9</v>
      </c>
      <c r="F6" s="48">
        <f>VLOOKUP(A6,Dataset!A:X,22,0)</f>
        <v>4.2</v>
      </c>
    </row>
    <row r="7" spans="1:7" ht="15" x14ac:dyDescent="0.2">
      <c r="A7" s="46" t="s">
        <v>4</v>
      </c>
      <c r="B7" s="47">
        <f>VLOOKUP(A7,Dataset!A:X,7,0)</f>
        <v>2.7</v>
      </c>
      <c r="C7" s="47">
        <f>VLOOKUP(A7,Dataset!A:X,14,0)</f>
        <v>7.6</v>
      </c>
      <c r="D7" s="47">
        <f>VLOOKUP(A7,Dataset!A:X,18,0)</f>
        <v>4.2</v>
      </c>
      <c r="E7" s="47">
        <f>VLOOKUP(A7,Dataset!A:X,20,0)</f>
        <v>8.9</v>
      </c>
      <c r="F7" s="48">
        <f>VLOOKUP(A7,Dataset!A:X,22,0)</f>
        <v>4.2</v>
      </c>
    </row>
    <row r="8" spans="1:7" ht="15" x14ac:dyDescent="0.2">
      <c r="A8" s="46" t="s">
        <v>7</v>
      </c>
      <c r="B8" s="47">
        <f>VLOOKUP(A8,Dataset!A:X,7,0)</f>
        <v>3.6</v>
      </c>
      <c r="C8" s="47">
        <f>VLOOKUP(A8,Dataset!A:X,14,0)</f>
        <v>11.1</v>
      </c>
      <c r="D8" s="47">
        <f>VLOOKUP(A8,Dataset!A:X,18,0)</f>
        <v>5.8</v>
      </c>
      <c r="E8" s="47">
        <f>VLOOKUP(A8,Dataset!A:X,20,0)</f>
        <v>12.2</v>
      </c>
      <c r="F8" s="48">
        <f>VLOOKUP(A8,Dataset!A:X,22,0)</f>
        <v>5.8</v>
      </c>
    </row>
    <row r="9" spans="1:7" ht="15" x14ac:dyDescent="0.2">
      <c r="A9" s="46" t="s">
        <v>8</v>
      </c>
      <c r="B9" s="47">
        <f>VLOOKUP(A9,Dataset!A:X,7,0)</f>
        <v>4.9000000000000004</v>
      </c>
      <c r="C9" s="47">
        <f>VLOOKUP(A9,Dataset!A:X,14,0)</f>
        <v>13.3</v>
      </c>
      <c r="D9" s="47">
        <f>VLOOKUP(A9,Dataset!A:X,18,0)</f>
        <v>8.1</v>
      </c>
      <c r="E9" s="47">
        <f>VLOOKUP(A9,Dataset!A:X,20,0)</f>
        <v>17</v>
      </c>
      <c r="F9" s="48">
        <f>VLOOKUP(A9,Dataset!A:X,22,0)</f>
        <v>8.1</v>
      </c>
    </row>
    <row r="10" spans="1:7" ht="15" x14ac:dyDescent="0.2">
      <c r="A10" s="46" t="s">
        <v>11</v>
      </c>
      <c r="B10" s="47">
        <f>VLOOKUP(A10,Dataset!A:X,7,0)</f>
        <v>9.4</v>
      </c>
      <c r="C10" s="47">
        <f>VLOOKUP(A10,Dataset!A:X,14,0)</f>
        <v>28.3</v>
      </c>
      <c r="D10" s="47">
        <f>VLOOKUP(A10,Dataset!A:X,18,0)</f>
        <v>16.100000000000001</v>
      </c>
      <c r="E10" s="47">
        <f>VLOOKUP(A10,Dataset!A:X,20,0)</f>
        <v>32.799999999999997</v>
      </c>
      <c r="F10" s="48">
        <f>VLOOKUP(A10,Dataset!A:X,22,0)</f>
        <v>16.100000000000001</v>
      </c>
    </row>
    <row r="11" spans="1:7" ht="15" x14ac:dyDescent="0.2">
      <c r="A11" s="46" t="s">
        <v>12</v>
      </c>
      <c r="B11" s="47">
        <f>VLOOKUP(A11,Dataset!A:X,7,0)</f>
        <v>11.6</v>
      </c>
      <c r="C11" s="47">
        <f>VLOOKUP(A11,Dataset!A:X,14,0)</f>
        <v>35.200000000000003</v>
      </c>
      <c r="D11" s="47">
        <f>VLOOKUP(A11,Dataset!A:X,18,0)</f>
        <v>21.3</v>
      </c>
      <c r="E11" s="47">
        <f>VLOOKUP(A11,Dataset!A:X,20,0)</f>
        <v>43</v>
      </c>
      <c r="F11" s="48">
        <f>VLOOKUP(A11,Dataset!A:X,22,0)</f>
        <v>21.3</v>
      </c>
    </row>
    <row r="12" spans="1:7" ht="15" x14ac:dyDescent="0.2">
      <c r="A12" s="46" t="s">
        <v>14</v>
      </c>
      <c r="B12" s="47">
        <f>VLOOKUP(A12,Dataset!A:X,7,0)</f>
        <v>18.399999999999999</v>
      </c>
      <c r="C12" s="47">
        <f>VLOOKUP(A12,Dataset!A:X,14,0)</f>
        <v>55.6</v>
      </c>
      <c r="D12" s="47">
        <f>VLOOKUP(A12,Dataset!A:X,18,0)</f>
        <v>33.799999999999997</v>
      </c>
      <c r="E12" s="47">
        <f>VLOOKUP(A12,Dataset!A:X,20,0)</f>
        <v>67.900000000000006</v>
      </c>
      <c r="F12" s="48">
        <f>VLOOKUP(A12,Dataset!A:X,22,0)</f>
        <v>33.799999999999997</v>
      </c>
    </row>
    <row r="13" spans="1:7" ht="15" x14ac:dyDescent="0.2">
      <c r="A13" s="46" t="s">
        <v>15</v>
      </c>
      <c r="B13" s="47">
        <f>VLOOKUP(A13,Dataset!A:X,7,0)</f>
        <v>0</v>
      </c>
      <c r="C13" s="47">
        <f>VLOOKUP(A13,Dataset!A:X,14,0)</f>
        <v>0</v>
      </c>
      <c r="D13" s="47">
        <f>VLOOKUP(A13,Dataset!A:X,18,0)</f>
        <v>0</v>
      </c>
      <c r="E13" s="47">
        <f>VLOOKUP(A13,Dataset!A:X,20,0)</f>
        <v>0</v>
      </c>
      <c r="F13" s="48">
        <f>VLOOKUP(A13,Dataset!A:X,22,0)</f>
        <v>0</v>
      </c>
    </row>
    <row r="14" spans="1:7" ht="15" x14ac:dyDescent="0.2">
      <c r="A14" s="46" t="s">
        <v>16</v>
      </c>
      <c r="B14" s="47">
        <f>VLOOKUP(A14,Dataset!A:X,7,0)</f>
        <v>21.9</v>
      </c>
      <c r="C14" s="47">
        <f>VLOOKUP(A14,Dataset!A:X,14,0)</f>
        <v>61.5</v>
      </c>
      <c r="D14" s="47">
        <f>VLOOKUP(A14,Dataset!A:X,18,0)</f>
        <v>40.1</v>
      </c>
      <c r="E14" s="47">
        <f>VLOOKUP(A14,Dataset!A:X,20,0)</f>
        <v>76.599999999999994</v>
      </c>
      <c r="F14" s="48">
        <f>VLOOKUP(A14,Dataset!A:X,22,0)</f>
        <v>40.1</v>
      </c>
    </row>
    <row r="15" spans="1:7" ht="15" x14ac:dyDescent="0.2">
      <c r="A15" s="46" t="s">
        <v>18</v>
      </c>
      <c r="B15" s="47">
        <f>VLOOKUP(A15,Dataset!A:X,7,0)</f>
        <v>26.8</v>
      </c>
      <c r="C15" s="47">
        <f>VLOOKUP(A15,Dataset!A:X,14,0)</f>
        <v>79.599999999999994</v>
      </c>
      <c r="D15" s="47">
        <f>VLOOKUP(A15,Dataset!A:X,18,0)</f>
        <v>47.9</v>
      </c>
      <c r="E15" s="47">
        <f>VLOOKUP(A15,Dataset!A:X,20,0)</f>
        <v>96.8</v>
      </c>
      <c r="F15" s="48">
        <f>VLOOKUP(A15,Dataset!A:X,22,0)</f>
        <v>47.9</v>
      </c>
    </row>
    <row r="16" spans="1:7" ht="15" x14ac:dyDescent="0.2">
      <c r="A16" s="46" t="s">
        <v>20</v>
      </c>
      <c r="B16" s="47">
        <f>VLOOKUP(A16,Dataset!A:X,7,0)</f>
        <v>28.5</v>
      </c>
      <c r="C16" s="47">
        <f>VLOOKUP(A16,Dataset!A:X,14,0)</f>
        <v>85.4</v>
      </c>
      <c r="D16" s="47">
        <f>VLOOKUP(A16,Dataset!A:X,18,0)</f>
        <v>52.3</v>
      </c>
      <c r="E16" s="47">
        <f>VLOOKUP(A16,Dataset!A:X,20,0)</f>
        <v>106.1</v>
      </c>
      <c r="F16" s="48">
        <f>VLOOKUP(A16,Dataset!A:X,22,0)</f>
        <v>52.3</v>
      </c>
    </row>
    <row r="17" spans="1:6" ht="15" x14ac:dyDescent="0.2">
      <c r="A17" s="46" t="s">
        <v>22</v>
      </c>
      <c r="B17" s="47">
        <f>VLOOKUP(A17,Dataset!A:X,7,0)</f>
        <v>30.7</v>
      </c>
      <c r="C17" s="47">
        <f>VLOOKUP(A17,Dataset!A:X,14,0)</f>
        <v>92.1</v>
      </c>
      <c r="D17" s="47">
        <f>VLOOKUP(A17,Dataset!A:X,18,0)</f>
        <v>57</v>
      </c>
      <c r="E17" s="47">
        <f>VLOOKUP(A17,Dataset!A:X,20,0)</f>
        <v>115.1</v>
      </c>
      <c r="F17" s="48">
        <f>VLOOKUP(A17,Dataset!A:X,22,0)</f>
        <v>57</v>
      </c>
    </row>
    <row r="18" spans="1:6" ht="15" x14ac:dyDescent="0.2">
      <c r="A18" s="46" t="s">
        <v>23</v>
      </c>
      <c r="B18" s="47">
        <f>VLOOKUP(A18,Dataset!A:X,7,0)</f>
        <v>33.799999999999997</v>
      </c>
      <c r="C18" s="47">
        <f>VLOOKUP(A18,Dataset!A:X,14,0)</f>
        <v>101.3</v>
      </c>
      <c r="D18" s="47">
        <f>VLOOKUP(A18,Dataset!A:X,18,0)</f>
        <v>61.4</v>
      </c>
      <c r="E18" s="47">
        <f>VLOOKUP(A18,Dataset!A:X,20,0)</f>
        <v>124.4</v>
      </c>
      <c r="F18" s="48">
        <f>VLOOKUP(A18,Dataset!A:X,22,0)</f>
        <v>61.4</v>
      </c>
    </row>
    <row r="19" spans="1:6" ht="15" x14ac:dyDescent="0.2">
      <c r="A19" s="46" t="s">
        <v>24</v>
      </c>
      <c r="B19" s="47">
        <f>VLOOKUP(A19,Dataset!A:X,7,0)</f>
        <v>34.700000000000003</v>
      </c>
      <c r="C19" s="47">
        <f>VLOOKUP(A19,Dataset!A:X,14,0)</f>
        <v>106.1</v>
      </c>
      <c r="D19" s="47">
        <f>VLOOKUP(A19,Dataset!A:X,18,0)</f>
        <v>63.6</v>
      </c>
      <c r="E19" s="47">
        <f>VLOOKUP(A19,Dataset!A:X,20,0)</f>
        <v>128.6</v>
      </c>
      <c r="F19" s="48">
        <f>VLOOKUP(A19,Dataset!A:X,22,0)</f>
        <v>63.6</v>
      </c>
    </row>
    <row r="20" spans="1:6" ht="15" x14ac:dyDescent="0.2">
      <c r="A20" s="46" t="s">
        <v>28</v>
      </c>
      <c r="B20" s="47">
        <f>VLOOKUP(A20,Dataset!A:X,7,0)</f>
        <v>0</v>
      </c>
      <c r="C20" s="47">
        <f>VLOOKUP(A20,Dataset!A:X,14,0)</f>
        <v>0</v>
      </c>
      <c r="D20" s="47">
        <f>VLOOKUP(A20,Dataset!A:X,18,0)</f>
        <v>0</v>
      </c>
      <c r="E20" s="47">
        <f>VLOOKUP(A20,Dataset!A:X,20,0)</f>
        <v>0</v>
      </c>
      <c r="F20" s="48">
        <f>VLOOKUP(A20,Dataset!A:X,22,0)</f>
        <v>0</v>
      </c>
    </row>
    <row r="21" spans="1:6" ht="15" x14ac:dyDescent="0.2">
      <c r="A21" s="46" t="s">
        <v>57</v>
      </c>
      <c r="B21" s="47">
        <f>VLOOKUP(A21,Dataset!A:X,7,0)</f>
        <v>41.3</v>
      </c>
      <c r="C21" s="47">
        <f>VLOOKUP(A21,Dataset!A:X,14,0)</f>
        <v>124.4</v>
      </c>
      <c r="D21" s="47">
        <f>VLOOKUP(A21,Dataset!A:X,18,0)</f>
        <v>75</v>
      </c>
      <c r="E21" s="47">
        <f>VLOOKUP(A21,Dataset!A:X,20,0)</f>
        <v>151.5</v>
      </c>
      <c r="F21" s="48">
        <f>VLOOKUP(A21,Dataset!A:X,22,0)</f>
        <v>75</v>
      </c>
    </row>
    <row r="22" spans="1:6" ht="15" x14ac:dyDescent="0.2">
      <c r="A22" s="46" t="s">
        <v>58</v>
      </c>
      <c r="B22" s="47">
        <f>VLOOKUP(A22,Dataset!A:X,7,0)</f>
        <v>-1</v>
      </c>
      <c r="C22" s="47">
        <f>VLOOKUP(A22,Dataset!A:X,14,0)</f>
        <v>-1</v>
      </c>
      <c r="D22" s="47">
        <f>VLOOKUP(A22,Dataset!A:X,18,0)</f>
        <v>-1</v>
      </c>
      <c r="E22" s="47">
        <f>VLOOKUP(A22,Dataset!A:X,20,0)</f>
        <v>-1</v>
      </c>
      <c r="F22" s="48">
        <f>VLOOKUP(A22,Dataset!A:X,22,0)</f>
        <v>-1</v>
      </c>
    </row>
    <row r="23" spans="1:6" ht="15" x14ac:dyDescent="0.2">
      <c r="A23" s="46" t="s">
        <v>31</v>
      </c>
      <c r="B23" s="47">
        <f>VLOOKUP(A23,Dataset!A:X,7,0)</f>
        <v>45</v>
      </c>
      <c r="C23" s="47">
        <f>VLOOKUP(A23,Dataset!A:X,14,0)</f>
        <v>133.4</v>
      </c>
      <c r="D23" s="47">
        <f>VLOOKUP(A23,Dataset!A:X,18,0)</f>
        <v>79.400000000000006</v>
      </c>
      <c r="E23" s="47">
        <f>VLOOKUP(A23,Dataset!A:X,20,0)</f>
        <v>160.9</v>
      </c>
      <c r="F23" s="48">
        <f>VLOOKUP(A23,Dataset!A:X,22,0)</f>
        <v>79.400000000000006</v>
      </c>
    </row>
    <row r="24" spans="1:6" ht="15" x14ac:dyDescent="0.2">
      <c r="A24" s="46" t="s">
        <v>32</v>
      </c>
      <c r="B24" s="47">
        <f>VLOOKUP(A24,Dataset!A:X,7,0)</f>
        <v>-1</v>
      </c>
      <c r="C24" s="47">
        <f>VLOOKUP(A24,Dataset!A:X,14,0)</f>
        <v>-1</v>
      </c>
      <c r="D24" s="47">
        <f>VLOOKUP(A24,Dataset!A:X,18,0)</f>
        <v>-1</v>
      </c>
      <c r="E24" s="47">
        <f>VLOOKUP(A24,Dataset!A:X,20,0)</f>
        <v>-1</v>
      </c>
      <c r="F24" s="48">
        <f>VLOOKUP(A24,Dataset!A:X,22,0)</f>
        <v>-1</v>
      </c>
    </row>
    <row r="25" spans="1:6" ht="15" x14ac:dyDescent="0.2">
      <c r="A25" s="46" t="s">
        <v>34</v>
      </c>
      <c r="B25" s="47">
        <f>VLOOKUP(A25,Dataset!A:X,7,0)</f>
        <v>43.3</v>
      </c>
      <c r="C25" s="47">
        <f>VLOOKUP(A25,Dataset!A:X,14,0)</f>
        <v>128.6</v>
      </c>
      <c r="D25" s="47">
        <f>VLOOKUP(A25,Dataset!A:X,18,0)</f>
        <v>79.400000000000006</v>
      </c>
      <c r="E25" s="47">
        <f>VLOOKUP(A25,Dataset!A:X,20,0)</f>
        <v>160.9</v>
      </c>
      <c r="F25" s="48">
        <f>VLOOKUP(A25,Dataset!A:X,22,0)</f>
        <v>79.400000000000006</v>
      </c>
    </row>
    <row r="26" spans="1:6" ht="15" x14ac:dyDescent="0.2">
      <c r="A26" s="46" t="s">
        <v>37</v>
      </c>
      <c r="B26" s="47">
        <f>VLOOKUP(A26,Dataset!A:X,7,0)</f>
        <v>49.1</v>
      </c>
      <c r="C26" s="47">
        <f>VLOOKUP(A26,Dataset!A:X,14,0)</f>
        <v>146.80000000000001</v>
      </c>
      <c r="D26" s="47">
        <f>VLOOKUP(A26,Dataset!A:X,18,0)</f>
        <v>90.9</v>
      </c>
      <c r="E26" s="47">
        <f>VLOOKUP(A26,Dataset!A:X,20,0)</f>
        <v>183.5</v>
      </c>
      <c r="F26" s="48">
        <f>VLOOKUP(A26,Dataset!A:X,22,0)</f>
        <v>90.9</v>
      </c>
    </row>
    <row r="27" spans="1:6" ht="15" x14ac:dyDescent="0.2">
      <c r="A27" s="46" t="s">
        <v>39</v>
      </c>
      <c r="B27" s="47">
        <f>VLOOKUP(A27,Dataset!A:X,7,0)</f>
        <v>51.8</v>
      </c>
      <c r="C27" s="47">
        <f>VLOOKUP(A27,Dataset!A:X,14,0)</f>
        <v>156.4</v>
      </c>
      <c r="D27" s="47">
        <f>VLOOKUP(A27,Dataset!A:X,18,0)</f>
        <v>93.1</v>
      </c>
      <c r="E27" s="47">
        <f>VLOOKUP(A27,Dataset!A:X,20,0)</f>
        <v>188.1</v>
      </c>
      <c r="F27" s="48">
        <f>VLOOKUP(A27,Dataset!A:X,22,0)</f>
        <v>93.1</v>
      </c>
    </row>
    <row r="28" spans="1:6" ht="15" x14ac:dyDescent="0.2">
      <c r="A28" s="49" t="s">
        <v>82</v>
      </c>
      <c r="B28" s="50">
        <f>MIN(B6:B27)</f>
        <v>-1</v>
      </c>
      <c r="C28" s="50">
        <f t="shared" ref="C28:F28" si="0">MIN(C6:C27)</f>
        <v>-1</v>
      </c>
      <c r="D28" s="50">
        <f t="shared" si="0"/>
        <v>-1</v>
      </c>
      <c r="E28" s="50">
        <f t="shared" si="0"/>
        <v>-1</v>
      </c>
      <c r="F28" s="50">
        <f t="shared" si="0"/>
        <v>-1</v>
      </c>
    </row>
    <row r="29" spans="1:6" ht="15" x14ac:dyDescent="0.2">
      <c r="A29" s="49" t="s">
        <v>83</v>
      </c>
      <c r="B29" s="50">
        <f>MAX(B6:B27)</f>
        <v>51.8</v>
      </c>
      <c r="C29" s="50">
        <f t="shared" ref="C29:F29" si="1">MAX(C6:C27)</f>
        <v>156.4</v>
      </c>
      <c r="D29" s="50">
        <f t="shared" si="1"/>
        <v>93.1</v>
      </c>
      <c r="E29" s="50">
        <f t="shared" si="1"/>
        <v>188.1</v>
      </c>
      <c r="F29" s="50">
        <f t="shared" si="1"/>
        <v>93.1</v>
      </c>
    </row>
    <row r="30" spans="1:6" ht="15" x14ac:dyDescent="0.2">
      <c r="A30" s="49" t="s">
        <v>84</v>
      </c>
      <c r="B30" s="50">
        <f>AVERAGE(B6:B27)</f>
        <v>20.827272727272728</v>
      </c>
      <c r="C30" s="50">
        <f t="shared" ref="C30:F30" si="2">AVERAGE(C6:C27)</f>
        <v>62.377272727272725</v>
      </c>
      <c r="D30" s="50">
        <f t="shared" si="2"/>
        <v>37.800000000000004</v>
      </c>
      <c r="E30" s="50">
        <f t="shared" si="2"/>
        <v>76.418181818181822</v>
      </c>
      <c r="F30" s="5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5" customFormat="1" ht="21" x14ac:dyDescent="0.35">
      <c r="A1" s="36" t="s">
        <v>56</v>
      </c>
      <c r="B1" s="35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37" t="s">
        <v>53</v>
      </c>
      <c r="B5" s="1" t="s">
        <v>180</v>
      </c>
    </row>
    <row r="6" spans="1:10" ht="18.75" x14ac:dyDescent="0.3">
      <c r="A6" s="37" t="s">
        <v>154</v>
      </c>
      <c r="B6" s="34" t="s">
        <v>179</v>
      </c>
    </row>
    <row r="7" spans="1:10" ht="18.75" x14ac:dyDescent="0.3">
      <c r="A7" s="37"/>
      <c r="B7" s="34"/>
    </row>
    <row r="9" spans="1:10" ht="23.25" x14ac:dyDescent="0.35">
      <c r="A9" s="17" t="s">
        <v>166</v>
      </c>
      <c r="I9" s="2"/>
      <c r="J9" s="2"/>
    </row>
    <row r="10" spans="1:10" x14ac:dyDescent="0.25">
      <c r="A10" s="27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122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123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124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125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126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127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128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129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130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131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132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133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134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135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136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137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138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139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140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141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142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143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144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145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146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147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148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149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150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151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113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114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115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116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117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118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119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120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121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36" t="s">
        <v>85</v>
      </c>
      <c r="B1" s="35" t="s">
        <v>168</v>
      </c>
    </row>
    <row r="2" spans="1:3" ht="18.75" x14ac:dyDescent="0.3">
      <c r="B2" s="34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154</v>
      </c>
      <c r="B7" s="1" t="s">
        <v>182</v>
      </c>
    </row>
    <row r="10" spans="1:3" ht="23.25" x14ac:dyDescent="0.35">
      <c r="A10" s="17" t="s">
        <v>163</v>
      </c>
    </row>
    <row r="11" spans="1:3" ht="15" x14ac:dyDescent="0.25">
      <c r="A11" s="26" t="s">
        <v>86</v>
      </c>
      <c r="B11" s="16" t="s">
        <v>87</v>
      </c>
      <c r="C11" s="16" t="s">
        <v>88</v>
      </c>
    </row>
    <row r="12" spans="1:3" ht="15" x14ac:dyDescent="0.25">
      <c r="A12" s="26">
        <v>44927</v>
      </c>
      <c r="B12" s="16" t="s">
        <v>59</v>
      </c>
      <c r="C12" s="16">
        <v>200</v>
      </c>
    </row>
    <row r="13" spans="1:3" ht="15" x14ac:dyDescent="0.25">
      <c r="A13" s="26">
        <v>44928</v>
      </c>
      <c r="B13" s="16" t="s">
        <v>60</v>
      </c>
      <c r="C13" s="16">
        <v>100</v>
      </c>
    </row>
    <row r="14" spans="1:3" ht="15" x14ac:dyDescent="0.25">
      <c r="A14" s="26">
        <v>44929</v>
      </c>
      <c r="B14" s="16" t="s">
        <v>61</v>
      </c>
      <c r="C14" s="16">
        <v>50</v>
      </c>
    </row>
    <row r="15" spans="1:3" ht="15" x14ac:dyDescent="0.25">
      <c r="A15" s="26">
        <v>44930</v>
      </c>
      <c r="B15" s="16" t="s">
        <v>62</v>
      </c>
      <c r="C15" s="16">
        <v>200</v>
      </c>
    </row>
    <row r="16" spans="1:3" ht="15" x14ac:dyDescent="0.25">
      <c r="A16" s="26">
        <v>44931</v>
      </c>
      <c r="B16" s="16" t="s">
        <v>63</v>
      </c>
      <c r="C16" s="16">
        <v>10</v>
      </c>
    </row>
    <row r="17" spans="1:3" ht="15" x14ac:dyDescent="0.25">
      <c r="A17" s="26">
        <v>44932</v>
      </c>
      <c r="B17" s="16" t="s">
        <v>155</v>
      </c>
      <c r="C17" s="16">
        <v>150</v>
      </c>
    </row>
    <row r="18" spans="1:3" ht="15" x14ac:dyDescent="0.25">
      <c r="A18" s="26">
        <v>44933</v>
      </c>
      <c r="B18" s="16" t="s">
        <v>156</v>
      </c>
      <c r="C18" s="16">
        <v>80</v>
      </c>
    </row>
    <row r="19" spans="1:3" ht="15" x14ac:dyDescent="0.25">
      <c r="A19" s="26">
        <v>44934</v>
      </c>
      <c r="B19" s="16" t="s">
        <v>157</v>
      </c>
      <c r="C19" s="16">
        <v>80</v>
      </c>
    </row>
    <row r="20" spans="1:3" ht="15" x14ac:dyDescent="0.25">
      <c r="A20" s="26">
        <v>44935</v>
      </c>
      <c r="B20" s="16" t="s">
        <v>158</v>
      </c>
      <c r="C20" s="16">
        <v>30</v>
      </c>
    </row>
    <row r="21" spans="1:3" ht="15" x14ac:dyDescent="0.25">
      <c r="A21" s="26">
        <v>44936</v>
      </c>
      <c r="B21" s="16" t="s">
        <v>159</v>
      </c>
      <c r="C21" s="16">
        <v>40</v>
      </c>
    </row>
    <row r="22" spans="1:3" ht="15" x14ac:dyDescent="0.25">
      <c r="B22" s="16" t="s">
        <v>160</v>
      </c>
      <c r="C22" s="20">
        <f>SUM(C12:C21)</f>
        <v>940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E22" sqref="E2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6" t="s">
        <v>98</v>
      </c>
      <c r="B1" s="35" t="s">
        <v>176</v>
      </c>
    </row>
    <row r="3" spans="1:14" ht="15" x14ac:dyDescent="0.25">
      <c r="B3" s="1" t="s">
        <v>152</v>
      </c>
    </row>
    <row r="4" spans="1:14" ht="18.75" x14ac:dyDescent="0.3">
      <c r="A4" s="37" t="s">
        <v>53</v>
      </c>
      <c r="B4" s="1"/>
    </row>
    <row r="5" spans="1:14" ht="18.75" x14ac:dyDescent="0.3">
      <c r="A5" s="37" t="s">
        <v>154</v>
      </c>
      <c r="B5" s="1"/>
    </row>
    <row r="6" spans="1:14" ht="15" x14ac:dyDescent="0.25">
      <c r="A6" s="3"/>
      <c r="B6" s="1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1"/>
      <c r="B9" s="21" t="s">
        <v>89</v>
      </c>
      <c r="C9" s="21" t="s">
        <v>90</v>
      </c>
      <c r="D9" s="21" t="s">
        <v>91</v>
      </c>
      <c r="E9" s="21" t="s">
        <v>92</v>
      </c>
      <c r="F9" s="21" t="s">
        <v>93</v>
      </c>
      <c r="G9" s="21" t="s">
        <v>94</v>
      </c>
      <c r="H9" s="21" t="s">
        <v>95</v>
      </c>
      <c r="I9" s="21" t="s">
        <v>96</v>
      </c>
      <c r="J9" s="21" t="s">
        <v>97</v>
      </c>
      <c r="M9" s="18" t="s">
        <v>43</v>
      </c>
      <c r="N9" s="18" t="s">
        <v>99</v>
      </c>
    </row>
    <row r="10" spans="1:14" ht="15" x14ac:dyDescent="0.25">
      <c r="A10" s="21" t="s">
        <v>89</v>
      </c>
      <c r="B10" s="20">
        <v>-1</v>
      </c>
      <c r="C10" s="20">
        <v>95</v>
      </c>
      <c r="D10" s="20">
        <v>-1</v>
      </c>
      <c r="E10" s="20">
        <v>185</v>
      </c>
      <c r="F10" s="20">
        <v>255</v>
      </c>
      <c r="G10" s="20">
        <v>305</v>
      </c>
      <c r="H10" s="20">
        <v>415</v>
      </c>
      <c r="I10" s="20">
        <v>480</v>
      </c>
      <c r="J10" s="20">
        <v>525</v>
      </c>
      <c r="M10" s="11">
        <v>10100</v>
      </c>
      <c r="N10" s="11" t="s">
        <v>89</v>
      </c>
    </row>
    <row r="11" spans="1:14" ht="15" x14ac:dyDescent="0.25">
      <c r="A11" s="21" t="s">
        <v>90</v>
      </c>
      <c r="B11" s="20">
        <v>95</v>
      </c>
      <c r="C11" s="20">
        <v>-1</v>
      </c>
      <c r="D11" s="20">
        <v>-1</v>
      </c>
      <c r="E11" s="20">
        <v>90</v>
      </c>
      <c r="F11" s="20">
        <v>160</v>
      </c>
      <c r="G11" s="20">
        <v>210</v>
      </c>
      <c r="H11" s="20">
        <v>325</v>
      </c>
      <c r="I11" s="20">
        <v>390</v>
      </c>
      <c r="J11" s="20">
        <v>430</v>
      </c>
      <c r="M11" s="11">
        <v>10102</v>
      </c>
      <c r="N11" s="11" t="s">
        <v>90</v>
      </c>
    </row>
    <row r="12" spans="1:14" ht="15" x14ac:dyDescent="0.25">
      <c r="A12" s="21" t="s">
        <v>91</v>
      </c>
      <c r="B12" s="20">
        <v>-1</v>
      </c>
      <c r="C12" s="20">
        <v>-1</v>
      </c>
      <c r="D12" s="20">
        <v>-1</v>
      </c>
      <c r="E12" s="20">
        <v>60</v>
      </c>
      <c r="F12" s="20">
        <v>130</v>
      </c>
      <c r="G12" s="20">
        <v>180</v>
      </c>
      <c r="H12" s="20">
        <v>295</v>
      </c>
      <c r="I12" s="20">
        <v>355</v>
      </c>
      <c r="J12" s="20">
        <v>400</v>
      </c>
      <c r="M12" s="11">
        <v>10104</v>
      </c>
      <c r="N12" s="11" t="s">
        <v>91</v>
      </c>
    </row>
    <row r="13" spans="1:14" ht="15" x14ac:dyDescent="0.25">
      <c r="A13" s="21" t="s">
        <v>92</v>
      </c>
      <c r="B13" s="20">
        <v>185</v>
      </c>
      <c r="C13" s="20">
        <v>90</v>
      </c>
      <c r="D13" s="20">
        <v>60</v>
      </c>
      <c r="E13" s="20">
        <v>-1</v>
      </c>
      <c r="F13" s="20">
        <v>70</v>
      </c>
      <c r="G13" s="20">
        <v>120</v>
      </c>
      <c r="H13" s="20">
        <v>235</v>
      </c>
      <c r="I13" s="20">
        <v>300</v>
      </c>
      <c r="J13" s="20">
        <v>340</v>
      </c>
      <c r="M13" s="11">
        <v>10106</v>
      </c>
      <c r="N13" s="11" t="s">
        <v>92</v>
      </c>
    </row>
    <row r="14" spans="1:14" ht="15" x14ac:dyDescent="0.25">
      <c r="A14" s="21" t="s">
        <v>93</v>
      </c>
      <c r="B14" s="20">
        <v>255</v>
      </c>
      <c r="C14" s="20">
        <v>160</v>
      </c>
      <c r="D14" s="20">
        <v>130</v>
      </c>
      <c r="E14" s="20">
        <v>70</v>
      </c>
      <c r="F14" s="20">
        <v>-1</v>
      </c>
      <c r="G14" s="20">
        <v>50</v>
      </c>
      <c r="H14" s="20">
        <v>165</v>
      </c>
      <c r="I14" s="20">
        <v>230</v>
      </c>
      <c r="J14" s="20">
        <v>270</v>
      </c>
      <c r="M14" s="11">
        <v>10108</v>
      </c>
      <c r="N14" s="11" t="s">
        <v>93</v>
      </c>
    </row>
    <row r="15" spans="1:14" ht="15" x14ac:dyDescent="0.25">
      <c r="A15" s="21" t="s">
        <v>94</v>
      </c>
      <c r="B15" s="20">
        <v>305</v>
      </c>
      <c r="C15" s="20">
        <v>210</v>
      </c>
      <c r="D15" s="20">
        <v>180</v>
      </c>
      <c r="E15" s="20">
        <v>120</v>
      </c>
      <c r="F15" s="20">
        <v>50</v>
      </c>
      <c r="G15" s="20">
        <v>-1</v>
      </c>
      <c r="H15" s="20">
        <v>115</v>
      </c>
      <c r="I15" s="20">
        <v>180</v>
      </c>
      <c r="J15" s="20">
        <v>220</v>
      </c>
      <c r="M15" s="11">
        <v>10110</v>
      </c>
      <c r="N15" s="11" t="s">
        <v>94</v>
      </c>
    </row>
    <row r="16" spans="1:14" ht="15" x14ac:dyDescent="0.25">
      <c r="A16" s="21" t="s">
        <v>95</v>
      </c>
      <c r="B16" s="20">
        <v>415</v>
      </c>
      <c r="C16" s="20">
        <v>325</v>
      </c>
      <c r="D16" s="20">
        <v>295</v>
      </c>
      <c r="E16" s="20">
        <v>235</v>
      </c>
      <c r="F16" s="20">
        <v>165</v>
      </c>
      <c r="G16" s="20">
        <v>115</v>
      </c>
      <c r="H16" s="20">
        <v>-1</v>
      </c>
      <c r="I16" s="20">
        <v>65</v>
      </c>
      <c r="J16" s="20">
        <v>105</v>
      </c>
      <c r="M16" s="11">
        <v>10112</v>
      </c>
      <c r="N16" s="11" t="s">
        <v>95</v>
      </c>
    </row>
    <row r="17" spans="1:14" ht="15" x14ac:dyDescent="0.25">
      <c r="A17" s="21" t="s">
        <v>96</v>
      </c>
      <c r="B17" s="20">
        <v>480</v>
      </c>
      <c r="C17" s="20">
        <v>390</v>
      </c>
      <c r="D17" s="20">
        <v>355</v>
      </c>
      <c r="E17" s="20">
        <v>300</v>
      </c>
      <c r="F17" s="20">
        <v>230</v>
      </c>
      <c r="G17" s="20">
        <v>180</v>
      </c>
      <c r="H17" s="20">
        <v>65</v>
      </c>
      <c r="I17" s="20">
        <v>-1</v>
      </c>
      <c r="J17" s="20">
        <v>40</v>
      </c>
      <c r="M17" s="11">
        <v>10114</v>
      </c>
      <c r="N17" s="11" t="s">
        <v>96</v>
      </c>
    </row>
    <row r="18" spans="1:14" ht="15" x14ac:dyDescent="0.25">
      <c r="A18" s="21" t="s">
        <v>97</v>
      </c>
      <c r="B18" s="20">
        <v>525</v>
      </c>
      <c r="C18" s="20">
        <v>430</v>
      </c>
      <c r="D18" s="20">
        <v>400</v>
      </c>
      <c r="E18" s="20">
        <v>340</v>
      </c>
      <c r="F18" s="20">
        <v>270</v>
      </c>
      <c r="G18" s="20">
        <v>220</v>
      </c>
      <c r="H18" s="20">
        <v>105</v>
      </c>
      <c r="I18" s="20">
        <v>40</v>
      </c>
      <c r="J18" s="20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38">
        <v>95</v>
      </c>
    </row>
    <row r="24" spans="1:14" ht="15" x14ac:dyDescent="0.25">
      <c r="A24" s="7">
        <v>10100</v>
      </c>
      <c r="B24" s="11">
        <v>10104</v>
      </c>
      <c r="C24" s="38">
        <v>-1</v>
      </c>
    </row>
    <row r="25" spans="1:14" ht="15" x14ac:dyDescent="0.25">
      <c r="A25" s="7">
        <v>10108</v>
      </c>
      <c r="B25" s="11">
        <v>10102</v>
      </c>
      <c r="C25" s="38">
        <v>160</v>
      </c>
    </row>
    <row r="26" spans="1:14" ht="15" x14ac:dyDescent="0.25">
      <c r="A26" s="7">
        <v>10100</v>
      </c>
      <c r="B26" s="11">
        <v>10106</v>
      </c>
      <c r="C26" s="38">
        <v>185</v>
      </c>
    </row>
    <row r="27" spans="1:14" ht="15" x14ac:dyDescent="0.25">
      <c r="A27" s="7">
        <v>10108</v>
      </c>
      <c r="B27" s="11">
        <v>10110</v>
      </c>
      <c r="C27" s="38">
        <v>50</v>
      </c>
    </row>
    <row r="28" spans="1:14" ht="15" x14ac:dyDescent="0.25">
      <c r="A28" s="7">
        <v>10102</v>
      </c>
      <c r="B28" s="11">
        <v>10104</v>
      </c>
      <c r="C28" s="38">
        <v>-1</v>
      </c>
    </row>
    <row r="29" spans="1:14" ht="15" x14ac:dyDescent="0.25">
      <c r="A29" s="7">
        <v>10106</v>
      </c>
      <c r="B29" s="11">
        <v>10108</v>
      </c>
      <c r="C29" s="38">
        <v>70</v>
      </c>
    </row>
    <row r="30" spans="1:14" ht="15" x14ac:dyDescent="0.25">
      <c r="A30" s="7">
        <v>10102</v>
      </c>
      <c r="B30" s="11">
        <v>10106</v>
      </c>
      <c r="C30" s="38">
        <v>90</v>
      </c>
    </row>
    <row r="31" spans="1:14" ht="15" x14ac:dyDescent="0.25">
      <c r="A31" s="7">
        <v>10110</v>
      </c>
      <c r="B31" s="11">
        <v>10114</v>
      </c>
      <c r="C31" s="38">
        <v>180</v>
      </c>
    </row>
    <row r="32" spans="1:14" ht="15" x14ac:dyDescent="0.25">
      <c r="A32" s="7">
        <v>10104</v>
      </c>
      <c r="B32" s="11">
        <v>10106</v>
      </c>
      <c r="C32" s="38">
        <v>60</v>
      </c>
    </row>
    <row r="33" spans="1:3" ht="15" x14ac:dyDescent="0.25">
      <c r="A33" s="7">
        <v>10110</v>
      </c>
      <c r="B33" s="11">
        <v>10112</v>
      </c>
      <c r="C33" s="38">
        <v>115</v>
      </c>
    </row>
    <row r="34" spans="1:3" ht="15" x14ac:dyDescent="0.25">
      <c r="A34" s="7">
        <v>10100</v>
      </c>
      <c r="B34" s="11">
        <v>10114</v>
      </c>
      <c r="C34" s="38">
        <v>480</v>
      </c>
    </row>
    <row r="35" spans="1:3" ht="15" x14ac:dyDescent="0.25">
      <c r="A35" s="8">
        <v>10112</v>
      </c>
      <c r="B35" s="12">
        <v>10116</v>
      </c>
      <c r="C35" s="38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VCS-148</cp:lastModifiedBy>
  <dcterms:created xsi:type="dcterms:W3CDTF">2015-02-10T17:33:11Z</dcterms:created>
  <dcterms:modified xsi:type="dcterms:W3CDTF">2023-12-10T17:41:21Z</dcterms:modified>
</cp:coreProperties>
</file>